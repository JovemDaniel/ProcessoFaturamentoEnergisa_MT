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uis.nascimento\Documents\Teste UI Path\FATURAMENTO_ENERGISA\CONTROLE\"/>
    </mc:Choice>
  </mc:AlternateContent>
  <xr:revisionPtr revIDLastSave="0" documentId="13_ncr:1_{3478517C-DC59-44DB-9A9C-3037D71E0CD1}" xr6:coauthVersionLast="47" xr6:coauthVersionMax="47" xr10:uidLastSave="{00000000-0000-0000-0000-000000000000}"/>
  <bookViews>
    <workbookView xWindow="-28920" yWindow="-120" windowWidth="29040" windowHeight="15720" activeTab="1" xr2:uid="{D1D3B770-D0DA-4E3A-966C-F0EFB9B65C54}"/>
  </bookViews>
  <sheets>
    <sheet name="Dados" sheetId="3" r:id="rId1"/>
    <sheet name="Dados MT - 07.12.2024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2" i="4" l="1"/>
  <c r="L13" i="4"/>
  <c r="L13" i="3"/>
  <c r="D22" i="3"/>
</calcChain>
</file>

<file path=xl/sharedStrings.xml><?xml version="1.0" encoding="utf-8"?>
<sst xmlns="http://schemas.openxmlformats.org/spreadsheetml/2006/main" count="89" uniqueCount="47">
  <si>
    <t>CLIENTE</t>
  </si>
  <si>
    <t xml:space="preserve">SERVIÇOS DE ATENDIMENTO PRESENCIAL </t>
  </si>
  <si>
    <t>NATUREZA</t>
  </si>
  <si>
    <t>0101001002</t>
  </si>
  <si>
    <t xml:space="preserve"> CONTRATO </t>
  </si>
  <si>
    <t xml:space="preserve"> Ref. </t>
  </si>
  <si>
    <t>PRODUTO</t>
  </si>
  <si>
    <t>000000000000066</t>
  </si>
  <si>
    <t xml:space="preserve"> </t>
  </si>
  <si>
    <t>Total</t>
  </si>
  <si>
    <t>MUNIC</t>
  </si>
  <si>
    <t>Pedido TOTVS</t>
  </si>
  <si>
    <t>RPS</t>
  </si>
  <si>
    <t>NOTA FISCAL</t>
  </si>
  <si>
    <t>TEXTO</t>
  </si>
  <si>
    <t>2024.0046.01</t>
  </si>
  <si>
    <t>QUANTIDADE</t>
  </si>
  <si>
    <t>1</t>
  </si>
  <si>
    <t>LOJA</t>
  </si>
  <si>
    <t>0001</t>
  </si>
  <si>
    <t>COND PAG</t>
  </si>
  <si>
    <t>60</t>
  </si>
  <si>
    <t>TIPO DE PEDIDO</t>
  </si>
  <si>
    <t>N</t>
  </si>
  <si>
    <t>RECOLHE ISS?</t>
  </si>
  <si>
    <t>1 - SIM/2-NÃO</t>
  </si>
  <si>
    <t>ESTADO</t>
  </si>
  <si>
    <t>Execucao de servicos de Atend Presencial</t>
  </si>
  <si>
    <t xml:space="preserve"> Codigo Faturamento </t>
  </si>
  <si>
    <t xml:space="preserve">. Lote Consolidacao: </t>
  </si>
  <si>
    <t>Municipio</t>
  </si>
  <si>
    <t>Emissao</t>
  </si>
  <si>
    <t>03467321</t>
  </si>
  <si>
    <r>
      <t xml:space="preserve">COD CLIENTE ENEGISA </t>
    </r>
    <r>
      <rPr>
        <b/>
        <sz val="10"/>
        <color theme="1"/>
        <rFont val="Calibri"/>
        <family val="2"/>
        <scheme val="minor"/>
      </rPr>
      <t>MS</t>
    </r>
    <r>
      <rPr>
        <sz val="10"/>
        <color theme="1"/>
        <rFont val="Calibri"/>
        <family val="2"/>
        <scheme val="minor"/>
      </rPr>
      <t xml:space="preserve"> - PROD</t>
    </r>
  </si>
  <si>
    <r>
      <t xml:space="preserve">COD CLIENTE ENEGISA </t>
    </r>
    <r>
      <rPr>
        <b/>
        <sz val="10"/>
        <color theme="1"/>
        <rFont val="Calibri"/>
        <family val="2"/>
        <scheme val="minor"/>
      </rPr>
      <t>MT</t>
    </r>
    <r>
      <rPr>
        <sz val="10"/>
        <color theme="1"/>
        <rFont val="Calibri"/>
        <family val="2"/>
        <scheme val="minor"/>
      </rPr>
      <t xml:space="preserve"> - PROD</t>
    </r>
  </si>
  <si>
    <t>03403</t>
  </si>
  <si>
    <t>02704</t>
  </si>
  <si>
    <r>
      <t xml:space="preserve">COD MUNIC </t>
    </r>
    <r>
      <rPr>
        <b/>
        <sz val="10"/>
        <color theme="1"/>
        <rFont val="Calibri"/>
        <family val="2"/>
        <scheme val="minor"/>
      </rPr>
      <t>MS - PROD</t>
    </r>
  </si>
  <si>
    <r>
      <t xml:space="preserve">COD MUNIC </t>
    </r>
    <r>
      <rPr>
        <b/>
        <sz val="10"/>
        <color theme="1"/>
        <rFont val="Calibri"/>
        <family val="2"/>
        <scheme val="minor"/>
      </rPr>
      <t>MT - PROD</t>
    </r>
  </si>
  <si>
    <t>2024.0077.01</t>
  </si>
  <si>
    <t>317121</t>
  </si>
  <si>
    <t>07.12.2024</t>
  </si>
  <si>
    <t>240077011910459030010000317121</t>
  </si>
  <si>
    <t>460.186,06</t>
  </si>
  <si>
    <t>CUIABÁ</t>
  </si>
  <si>
    <t>MT</t>
  </si>
  <si>
    <t>000002637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</si>
</sst>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Univers"/>
      <family val="2"/>
    </font>
    <font>
      <sz val="10"/>
      <color theme="1"/>
      <name val="Univers"/>
      <family val="2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rgb="FFFF0000"/>
      <name val="Univers"/>
      <family val="2"/>
    </font>
    <font>
      <sz val="10"/>
      <name val="Univers"/>
      <family val="2"/>
    </font>
    <font>
      <b/>
      <sz val="10"/>
      <name val="Univers"/>
      <family val="2"/>
    </font>
    <font>
      <b/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5" fillId="0" borderId="0"/>
  </cellStyleXfs>
  <cellXfs count="44">
    <xf numFmtId="0" fontId="0" fillId="0" borderId="0" xfId="0"/>
    <xf numFmtId="0" fontId="2" fillId="0" borderId="0" xfId="0" applyFont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164" fontId="2" fillId="0" borderId="0" xfId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/>
    <xf numFmtId="49" fontId="3" fillId="3" borderId="0" xfId="0" applyNumberFormat="1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17" fontId="6" fillId="5" borderId="0" xfId="0" applyNumberFormat="1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64" fontId="2" fillId="4" borderId="1" xfId="1" applyFont="1" applyFill="1" applyBorder="1" applyAlignment="1">
      <alignment horizontal="center" vertical="center"/>
    </xf>
    <xf numFmtId="164" fontId="2" fillId="4" borderId="1" xfId="1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14" fontId="2" fillId="4" borderId="1" xfId="0" applyNumberFormat="1" applyFont="1" applyFill="1" applyBorder="1" applyAlignment="1">
      <alignment horizontal="center" vertical="center"/>
    </xf>
    <xf numFmtId="17" fontId="8" fillId="6" borderId="2" xfId="0" applyNumberFormat="1" applyFont="1" applyFill="1" applyBorder="1" applyAlignment="1">
      <alignment horizontal="center" vertical="center"/>
    </xf>
    <xf numFmtId="4" fontId="7" fillId="0" borderId="1" xfId="1" applyNumberFormat="1" applyFont="1" applyFill="1" applyBorder="1" applyAlignment="1">
      <alignment vertical="center"/>
    </xf>
    <xf numFmtId="0" fontId="7" fillId="0" borderId="1" xfId="1" applyNumberFormat="1" applyFont="1" applyFill="1" applyBorder="1" applyAlignment="1">
      <alignment horizontal="center" vertical="center" wrapText="1"/>
    </xf>
    <xf numFmtId="14" fontId="7" fillId="0" borderId="1" xfId="1" applyNumberFormat="1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7" fillId="0" borderId="3" xfId="0" applyFont="1" applyBorder="1" applyAlignment="1">
      <alignment vertical="center" wrapText="1"/>
    </xf>
    <xf numFmtId="0" fontId="7" fillId="0" borderId="1" xfId="1" applyNumberFormat="1" applyFont="1" applyFill="1" applyBorder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6" fillId="5" borderId="0" xfId="2" applyFont="1" applyFill="1" applyAlignment="1">
      <alignment horizontal="center" vertical="center"/>
    </xf>
    <xf numFmtId="164" fontId="2" fillId="4" borderId="0" xfId="1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 wrapText="1"/>
    </xf>
    <xf numFmtId="164" fontId="7" fillId="0" borderId="1" xfId="1" applyFont="1" applyFill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3" xfId="0" applyFont="1" applyBorder="1" applyAlignment="1">
      <alignment vertical="center"/>
    </xf>
    <xf numFmtId="4" fontId="2" fillId="0" borderId="0" xfId="0" applyNumberFormat="1" applyFont="1"/>
    <xf numFmtId="4" fontId="2" fillId="4" borderId="1" xfId="1" applyNumberFormat="1" applyFont="1" applyFill="1" applyBorder="1" applyAlignment="1">
      <alignment horizontal="center" vertical="center"/>
    </xf>
    <xf numFmtId="0" fontId="2" fillId="4" borderId="1" xfId="1" applyNumberFormat="1" applyFont="1" applyFill="1" applyBorder="1" applyAlignment="1">
      <alignment horizontal="center" vertical="center"/>
    </xf>
    <xf numFmtId="49" fontId="6" fillId="5" borderId="0" xfId="0" applyNumberFormat="1" applyFont="1" applyFill="1" applyAlignment="1">
      <alignment horizontal="center" vertical="center"/>
    </xf>
    <xf numFmtId="49" fontId="7" fillId="0" borderId="1" xfId="1" applyNumberFormat="1" applyFont="1" applyBorder="1" applyAlignment="1">
      <alignment horizontal="center" vertical="center"/>
    </xf>
    <xf numFmtId="0" fontId="2" fillId="0" borderId="0" xfId="1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4" fontId="7" fillId="0" borderId="1" xfId="1" applyNumberFormat="1" applyFont="1" applyFill="1" applyBorder="1" applyAlignment="1">
      <alignment horizontal="center" vertical="center"/>
    </xf>
    <xf numFmtId="4" fontId="7" fillId="0" borderId="1" xfId="1" applyNumberFormat="1" applyFont="1" applyFill="1" applyBorder="1" applyAlignment="1">
      <alignment horizontal="center" vertical="center" wrapText="1"/>
    </xf>
    <xf numFmtId="0" fontId="7" fillId="0" borderId="3" xfId="0" applyFont="1" applyBorder="1" applyAlignment="1">
      <alignment horizontal="left" vertical="center" wrapText="1"/>
    </xf>
    <xf numFmtId="49" fontId="3" fillId="0" borderId="0" xfId="0" applyNumberFormat="1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</cellXfs>
  <cellStyles count="3">
    <cellStyle name="Normal" xfId="0" builtinId="0"/>
    <cellStyle name="Normal 2" xfId="2" xr:uid="{8CC043AE-0686-4E7E-A183-0A279EF30A04}"/>
    <cellStyle name="Vírgula" xfId="1" builtinId="3"/>
  </cellStyles>
  <dxfs count="3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9DEDE-B7EF-4FEF-824D-54CF303EC5D7}">
  <sheetPr codeName="Planilha3"/>
  <dimension ref="A1:O30"/>
  <sheetViews>
    <sheetView workbookViewId="0">
      <selection activeCell="G14" sqref="G14"/>
    </sheetView>
  </sheetViews>
  <sheetFormatPr defaultRowHeight="12.75" x14ac:dyDescent="0.2"/>
  <cols>
    <col min="1" max="1" width="2" style="5" bestFit="1" customWidth="1"/>
    <col min="2" max="2" width="21" style="5" customWidth="1"/>
    <col min="3" max="3" width="31.7109375" style="5" bestFit="1" customWidth="1"/>
    <col min="4" max="4" width="10.140625" style="5" bestFit="1" customWidth="1"/>
    <col min="5" max="5" width="12.85546875" style="5" bestFit="1" customWidth="1"/>
    <col min="6" max="6" width="16.140625" style="24" bestFit="1" customWidth="1"/>
    <col min="7" max="7" width="11.7109375" style="5" customWidth="1"/>
    <col min="8" max="8" width="11.7109375" style="24" customWidth="1"/>
    <col min="9" max="9" width="7.42578125" style="24" bestFit="1" customWidth="1"/>
    <col min="10" max="10" width="10.140625" style="24" bestFit="1" customWidth="1"/>
    <col min="11" max="11" width="2" style="5" bestFit="1" customWidth="1"/>
    <col min="12" max="12" width="44.5703125" style="24" customWidth="1"/>
    <col min="13" max="13" width="3.7109375" style="5" customWidth="1"/>
    <col min="14" max="14" width="56.28515625" style="5" bestFit="1" customWidth="1"/>
    <col min="15" max="15" width="2" style="5" bestFit="1" customWidth="1"/>
    <col min="16" max="16384" width="9.140625" style="5"/>
  </cols>
  <sheetData>
    <row r="1" spans="1:15" ht="11.25" customHeight="1" x14ac:dyDescent="0.2">
      <c r="A1" s="1"/>
      <c r="B1" s="43"/>
      <c r="C1" s="43"/>
      <c r="D1" s="43"/>
      <c r="E1" s="43"/>
      <c r="F1" s="2" t="s">
        <v>0</v>
      </c>
      <c r="G1" s="6"/>
      <c r="H1" s="36"/>
      <c r="I1" s="3"/>
      <c r="J1" s="3"/>
      <c r="K1" s="4"/>
      <c r="L1" s="3"/>
      <c r="M1" s="4"/>
      <c r="N1" s="4"/>
      <c r="O1" s="4"/>
    </row>
    <row r="2" spans="1:15" ht="11.25" customHeight="1" x14ac:dyDescent="0.2">
      <c r="A2" s="1"/>
      <c r="B2" s="43" t="s">
        <v>1</v>
      </c>
      <c r="C2" s="43"/>
      <c r="D2" s="43"/>
      <c r="E2" s="43"/>
      <c r="F2" s="2" t="s">
        <v>2</v>
      </c>
      <c r="G2" s="6" t="s">
        <v>3</v>
      </c>
      <c r="H2" s="3"/>
      <c r="I2" s="3"/>
      <c r="J2" s="3"/>
      <c r="K2" s="4"/>
      <c r="L2" s="3"/>
      <c r="M2" s="4"/>
      <c r="N2" s="4"/>
      <c r="O2" s="4"/>
    </row>
    <row r="3" spans="1:15" ht="11.25" customHeight="1" x14ac:dyDescent="0.2">
      <c r="A3" s="1"/>
      <c r="B3" s="7" t="s">
        <v>4</v>
      </c>
      <c r="C3" s="25" t="s">
        <v>15</v>
      </c>
      <c r="D3" s="26" t="s">
        <v>5</v>
      </c>
      <c r="E3" s="8"/>
      <c r="F3" s="2" t="s">
        <v>6</v>
      </c>
      <c r="G3" s="6" t="s">
        <v>7</v>
      </c>
      <c r="H3" s="3"/>
      <c r="I3" s="3"/>
      <c r="J3" s="3"/>
      <c r="K3" s="4"/>
      <c r="L3" s="3"/>
      <c r="M3" s="4"/>
      <c r="N3" s="9"/>
      <c r="O3" s="4"/>
    </row>
    <row r="4" spans="1:15" ht="11.25" customHeight="1" x14ac:dyDescent="0.2">
      <c r="A4" s="1"/>
      <c r="B4" s="7"/>
      <c r="C4" s="25"/>
      <c r="D4" s="26"/>
      <c r="E4" s="8"/>
      <c r="F4" s="2" t="s">
        <v>16</v>
      </c>
      <c r="G4" s="6" t="s">
        <v>17</v>
      </c>
      <c r="H4" s="3"/>
      <c r="I4" s="3"/>
      <c r="J4" s="3"/>
      <c r="K4" s="4"/>
      <c r="L4" s="3"/>
      <c r="M4" s="4"/>
      <c r="N4" s="9"/>
      <c r="O4" s="4"/>
    </row>
    <row r="5" spans="1:15" ht="11.25" customHeight="1" x14ac:dyDescent="0.2">
      <c r="A5" s="1"/>
      <c r="B5" s="7"/>
      <c r="C5" s="25"/>
      <c r="D5" s="26"/>
      <c r="E5" s="8"/>
      <c r="F5" s="2" t="s">
        <v>18</v>
      </c>
      <c r="G5" s="6" t="s">
        <v>19</v>
      </c>
      <c r="H5" s="3"/>
      <c r="I5" s="3"/>
      <c r="J5" s="3"/>
      <c r="K5" s="4"/>
      <c r="L5" s="3"/>
      <c r="M5" s="4"/>
      <c r="N5" s="9"/>
      <c r="O5" s="4"/>
    </row>
    <row r="6" spans="1:15" ht="11.25" customHeight="1" x14ac:dyDescent="0.2">
      <c r="A6" s="4"/>
      <c r="B6" s="7"/>
      <c r="C6" s="25"/>
      <c r="D6" s="26"/>
      <c r="E6" s="8"/>
      <c r="F6" s="2" t="s">
        <v>20</v>
      </c>
      <c r="G6" s="6" t="s">
        <v>21</v>
      </c>
      <c r="H6" s="3"/>
      <c r="I6" s="3"/>
      <c r="J6" s="3"/>
      <c r="K6" s="4"/>
      <c r="L6" s="3"/>
      <c r="M6" s="4"/>
    </row>
    <row r="7" spans="1:15" ht="11.25" customHeight="1" x14ac:dyDescent="0.2">
      <c r="A7" s="4">
        <v>1</v>
      </c>
      <c r="B7" s="7"/>
      <c r="C7" s="25"/>
      <c r="D7" s="26"/>
      <c r="E7" s="8"/>
      <c r="F7" s="2" t="s">
        <v>22</v>
      </c>
      <c r="G7" s="6" t="s">
        <v>23</v>
      </c>
      <c r="H7" s="3"/>
      <c r="I7" s="3"/>
      <c r="J7" s="3"/>
      <c r="K7" s="4"/>
      <c r="L7" s="3"/>
      <c r="M7" s="19">
        <v>0</v>
      </c>
    </row>
    <row r="8" spans="1:15" ht="11.25" customHeight="1" x14ac:dyDescent="0.2">
      <c r="A8" s="4">
        <v>2</v>
      </c>
      <c r="B8" s="7"/>
      <c r="C8" s="25"/>
      <c r="D8" s="26"/>
      <c r="E8" s="8"/>
      <c r="F8" s="2" t="s">
        <v>24</v>
      </c>
      <c r="G8" s="6" t="s">
        <v>17</v>
      </c>
      <c r="H8" s="3" t="s">
        <v>25</v>
      </c>
      <c r="I8" s="3"/>
      <c r="J8" s="3"/>
      <c r="K8" s="4"/>
      <c r="L8" s="3"/>
      <c r="M8" s="19"/>
    </row>
    <row r="9" spans="1:15" ht="11.25" customHeight="1" x14ac:dyDescent="0.2">
      <c r="A9" s="4">
        <v>3</v>
      </c>
      <c r="B9" s="7"/>
      <c r="C9" s="25"/>
      <c r="D9" s="26"/>
      <c r="E9" s="8"/>
      <c r="F9" s="2" t="s">
        <v>26</v>
      </c>
      <c r="G9" s="6"/>
      <c r="H9" s="3"/>
      <c r="I9" s="3"/>
      <c r="J9" s="3"/>
      <c r="K9" s="4"/>
      <c r="L9" s="3"/>
      <c r="M9" s="19"/>
    </row>
    <row r="10" spans="1:15" x14ac:dyDescent="0.2">
      <c r="A10" s="4">
        <v>4</v>
      </c>
      <c r="B10" s="1"/>
      <c r="C10" s="27" t="s">
        <v>29</v>
      </c>
      <c r="D10" s="34"/>
      <c r="F10" s="5"/>
      <c r="H10" s="3"/>
      <c r="I10" s="3"/>
      <c r="J10" s="3"/>
      <c r="K10" s="4"/>
      <c r="L10" s="3"/>
      <c r="M10" s="19"/>
    </row>
    <row r="11" spans="1:15" x14ac:dyDescent="0.2">
      <c r="A11" s="4">
        <v>5</v>
      </c>
      <c r="B11" s="1"/>
      <c r="C11" s="1"/>
      <c r="D11" s="3"/>
      <c r="E11" s="3"/>
      <c r="F11" s="5"/>
      <c r="H11" s="3"/>
      <c r="I11" s="3"/>
      <c r="J11" s="3"/>
      <c r="K11" s="4"/>
      <c r="L11" s="3"/>
      <c r="M11" s="19"/>
    </row>
    <row r="12" spans="1:15" ht="25.5" x14ac:dyDescent="0.2">
      <c r="A12" s="4">
        <v>6</v>
      </c>
      <c r="B12" s="10" t="s">
        <v>8</v>
      </c>
      <c r="C12" s="10" t="s">
        <v>28</v>
      </c>
      <c r="D12" s="32" t="s">
        <v>9</v>
      </c>
      <c r="E12" s="11" t="s">
        <v>30</v>
      </c>
      <c r="F12" s="33" t="s">
        <v>10</v>
      </c>
      <c r="G12" s="12" t="s">
        <v>11</v>
      </c>
      <c r="H12" s="11" t="s">
        <v>12</v>
      </c>
      <c r="I12" s="13" t="s">
        <v>13</v>
      </c>
      <c r="J12" s="14" t="s">
        <v>31</v>
      </c>
      <c r="K12" s="4"/>
      <c r="L12" s="15" t="s">
        <v>14</v>
      </c>
      <c r="M12" s="19"/>
    </row>
    <row r="13" spans="1:15" ht="38.25" x14ac:dyDescent="0.2">
      <c r="A13" s="4">
        <v>7</v>
      </c>
      <c r="B13" s="38" t="s">
        <v>27</v>
      </c>
      <c r="C13" s="35"/>
      <c r="D13" s="39">
        <v>0</v>
      </c>
      <c r="E13" s="40"/>
      <c r="F13" s="42"/>
      <c r="G13" s="2">
        <v>700100</v>
      </c>
      <c r="H13" s="37"/>
      <c r="I13" s="17"/>
      <c r="J13" s="18"/>
      <c r="K13" s="4">
        <v>0</v>
      </c>
      <c r="L13" s="41" t="str">
        <f>_xlfn.CONCAT($B$12,B13,$B$3,$C$3,$D$3,$E$3,$C$10,$D$10," ",$E$12, " ",E13, $C$12, C13)</f>
        <v xml:space="preserve"> Execucao de servicos de Atend Presencial CONTRATO 2024.0046.01 Ref. . Lote Consolidacao:  Municipio  Codigo Faturamento </v>
      </c>
      <c r="M13" s="19"/>
    </row>
    <row r="14" spans="1:15" x14ac:dyDescent="0.2">
      <c r="A14" s="22"/>
      <c r="B14" s="29"/>
      <c r="C14" s="29"/>
      <c r="D14" s="16"/>
      <c r="E14" s="21"/>
      <c r="F14" s="21"/>
      <c r="G14" s="28"/>
      <c r="H14" s="28"/>
      <c r="I14" s="21"/>
      <c r="J14" s="18"/>
      <c r="K14" s="19"/>
      <c r="L14" s="20"/>
      <c r="M14" s="19"/>
    </row>
    <row r="15" spans="1:15" x14ac:dyDescent="0.2">
      <c r="A15" s="22"/>
      <c r="B15" s="29"/>
      <c r="C15" s="29"/>
      <c r="D15" s="16"/>
      <c r="E15" s="21"/>
      <c r="F15" s="21"/>
      <c r="G15" s="28"/>
      <c r="H15" s="28"/>
      <c r="I15" s="21"/>
      <c r="J15" s="18"/>
      <c r="K15" s="19"/>
      <c r="L15" s="20"/>
      <c r="M15" s="19"/>
    </row>
    <row r="16" spans="1:15" x14ac:dyDescent="0.2">
      <c r="A16" s="22"/>
      <c r="B16" s="29"/>
      <c r="C16" s="29"/>
      <c r="D16" s="16"/>
      <c r="E16" s="21"/>
      <c r="F16" s="21"/>
      <c r="G16" s="28"/>
      <c r="H16" s="28"/>
      <c r="I16" s="21"/>
      <c r="J16" s="18"/>
      <c r="K16" s="19"/>
      <c r="L16" s="20"/>
      <c r="M16" s="22"/>
      <c r="N16" s="22"/>
      <c r="O16" s="22"/>
    </row>
    <row r="17" spans="1:15" x14ac:dyDescent="0.2">
      <c r="A17" s="22"/>
      <c r="B17" s="29"/>
      <c r="C17" s="29"/>
      <c r="D17" s="16"/>
      <c r="E17" s="21"/>
      <c r="F17" s="21"/>
      <c r="G17" s="28"/>
      <c r="H17" s="28"/>
      <c r="I17" s="21"/>
      <c r="J17" s="18"/>
      <c r="K17" s="19"/>
      <c r="L17" s="20"/>
      <c r="M17" s="22"/>
      <c r="N17" s="22"/>
      <c r="O17" s="22"/>
    </row>
    <row r="18" spans="1:15" x14ac:dyDescent="0.2">
      <c r="A18" s="22"/>
      <c r="B18" s="29"/>
      <c r="C18" s="29"/>
      <c r="D18" s="16"/>
      <c r="E18" s="21"/>
      <c r="F18" s="21"/>
      <c r="G18" s="28"/>
      <c r="H18" s="28"/>
      <c r="I18" s="21"/>
      <c r="J18" s="18"/>
      <c r="K18" s="19"/>
      <c r="L18" s="20"/>
      <c r="M18" s="22"/>
      <c r="N18" s="22"/>
      <c r="O18" s="22"/>
    </row>
    <row r="19" spans="1:15" x14ac:dyDescent="0.2">
      <c r="A19" s="22"/>
      <c r="B19" s="29"/>
      <c r="C19" s="29"/>
      <c r="D19" s="16"/>
      <c r="E19" s="21"/>
      <c r="F19" s="21"/>
      <c r="G19" s="28"/>
      <c r="H19" s="28"/>
      <c r="I19" s="21"/>
      <c r="J19" s="18"/>
      <c r="K19" s="19"/>
      <c r="L19" s="30"/>
      <c r="M19" s="22"/>
      <c r="N19" s="22"/>
      <c r="O19" s="22"/>
    </row>
    <row r="20" spans="1:15" x14ac:dyDescent="0.2">
      <c r="A20" s="22"/>
      <c r="B20" s="29"/>
      <c r="C20" s="29"/>
      <c r="D20" s="16"/>
      <c r="E20" s="21"/>
      <c r="F20" s="21"/>
      <c r="G20" s="28"/>
      <c r="H20" s="28"/>
      <c r="I20" s="21"/>
      <c r="J20" s="18"/>
      <c r="K20" s="19"/>
      <c r="L20" s="30"/>
      <c r="M20" s="22"/>
      <c r="N20" s="22"/>
      <c r="O20" s="22"/>
    </row>
    <row r="21" spans="1:15" x14ac:dyDescent="0.2">
      <c r="A21" s="22"/>
      <c r="B21" s="29"/>
      <c r="C21" s="29"/>
      <c r="D21" s="16"/>
      <c r="E21" s="21"/>
      <c r="F21" s="21"/>
      <c r="G21" s="28"/>
      <c r="H21" s="28"/>
      <c r="I21" s="21"/>
      <c r="J21" s="18"/>
      <c r="K21" s="19"/>
      <c r="L21" s="30"/>
      <c r="M21" s="22"/>
      <c r="N21" s="22"/>
      <c r="O21" s="22"/>
    </row>
    <row r="22" spans="1:15" x14ac:dyDescent="0.2">
      <c r="A22" s="22"/>
      <c r="B22" s="22"/>
      <c r="C22" s="22"/>
      <c r="D22" s="31">
        <f>SUM(D13:D21)</f>
        <v>0</v>
      </c>
      <c r="E22" s="22"/>
      <c r="F22" s="23"/>
      <c r="G22" s="23"/>
      <c r="H22" s="23"/>
      <c r="I22" s="23"/>
      <c r="J22" s="23"/>
      <c r="K22" s="22"/>
      <c r="L22" s="23"/>
      <c r="M22" s="22"/>
      <c r="N22" s="22"/>
      <c r="O22" s="22"/>
    </row>
    <row r="23" spans="1:15" x14ac:dyDescent="0.2">
      <c r="A23" s="22"/>
      <c r="B23" s="22"/>
      <c r="C23" s="22"/>
      <c r="D23" s="22"/>
      <c r="E23" s="22"/>
      <c r="F23" s="23"/>
      <c r="G23" s="23"/>
      <c r="H23" s="23"/>
      <c r="I23" s="23"/>
      <c r="J23" s="23"/>
      <c r="K23" s="22"/>
      <c r="L23" s="23"/>
      <c r="M23" s="22"/>
      <c r="N23" s="22"/>
      <c r="O23" s="22"/>
    </row>
    <row r="25" spans="1:15" x14ac:dyDescent="0.2">
      <c r="B25" s="2">
        <v>15413826</v>
      </c>
      <c r="C25" s="5" t="s">
        <v>33</v>
      </c>
    </row>
    <row r="26" spans="1:15" x14ac:dyDescent="0.2">
      <c r="B26" s="6" t="s">
        <v>32</v>
      </c>
      <c r="C26" s="5" t="s">
        <v>34</v>
      </c>
    </row>
    <row r="29" spans="1:15" x14ac:dyDescent="0.2">
      <c r="B29" s="6" t="s">
        <v>36</v>
      </c>
      <c r="C29" s="5" t="s">
        <v>37</v>
      </c>
    </row>
    <row r="30" spans="1:15" x14ac:dyDescent="0.2">
      <c r="B30" s="6" t="s">
        <v>35</v>
      </c>
      <c r="C30" s="5" t="s">
        <v>38</v>
      </c>
    </row>
  </sheetData>
  <mergeCells count="2">
    <mergeCell ref="B1:E1"/>
    <mergeCell ref="B2:E2"/>
  </mergeCells>
  <conditionalFormatting sqref="E23">
    <cfRule type="duplicateValues" dxfId="29" priority="15"/>
  </conditionalFormatting>
  <conditionalFormatting sqref="C13">
    <cfRule type="duplicateValues" dxfId="28" priority="1"/>
  </conditionalFormatting>
  <conditionalFormatting sqref="E1:E2">
    <cfRule type="duplicateValues" dxfId="27" priority="8"/>
    <cfRule type="duplicateValues" dxfId="26" priority="9"/>
    <cfRule type="duplicateValues" dxfId="25" priority="10"/>
    <cfRule type="duplicateValues" dxfId="24" priority="11"/>
    <cfRule type="duplicateValues" dxfId="23" priority="12"/>
  </conditionalFormatting>
  <conditionalFormatting sqref="E14:E22 E1:E9">
    <cfRule type="duplicateValues" dxfId="22" priority="7"/>
  </conditionalFormatting>
  <conditionalFormatting sqref="L12">
    <cfRule type="duplicateValues" dxfId="21" priority="2"/>
    <cfRule type="duplicateValues" dxfId="20" priority="3"/>
    <cfRule type="duplicateValues" dxfId="19" priority="4"/>
    <cfRule type="duplicateValues" dxfId="18" priority="5"/>
    <cfRule type="duplicateValues" dxfId="17" priority="6"/>
  </conditionalFormatting>
  <conditionalFormatting sqref="E1:E9">
    <cfRule type="duplicateValues" dxfId="16" priority="13"/>
    <cfRule type="duplicateValues" dxfId="15" priority="14"/>
  </conditionalFormatting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54DEA-C7AD-4136-82DE-60BD53EDA0A6}">
  <sheetPr codeName="Planilha4"/>
  <dimension ref="A1:O30"/>
  <sheetViews>
    <sheetView tabSelected="1" workbookViewId="0">
      <selection activeCell="G14" sqref="G14"/>
    </sheetView>
  </sheetViews>
  <sheetFormatPr defaultRowHeight="12.75" x14ac:dyDescent="0.2"/>
  <cols>
    <col min="1" max="1" width="2" style="5" bestFit="1" customWidth="1"/>
    <col min="2" max="2" width="21" style="5" customWidth="1"/>
    <col min="3" max="3" width="31.7109375" style="5" bestFit="1" customWidth="1"/>
    <col min="4" max="4" width="10.140625" style="5" bestFit="1" customWidth="1"/>
    <col min="5" max="5" width="12.85546875" style="5" bestFit="1" customWidth="1"/>
    <col min="6" max="6" width="16.140625" style="24" bestFit="1" customWidth="1"/>
    <col min="7" max="7" width="11.7109375" style="5" customWidth="1"/>
    <col min="8" max="8" width="11.7109375" style="24" customWidth="1"/>
    <col min="9" max="9" width="7.42578125" style="24" bestFit="1" customWidth="1"/>
    <col min="10" max="10" width="10.140625" style="24" bestFit="1" customWidth="1"/>
    <col min="11" max="11" width="2" style="5" bestFit="1" customWidth="1"/>
    <col min="12" max="12" width="44.5703125" style="24" customWidth="1"/>
    <col min="13" max="13" width="3.7109375" style="5" customWidth="1"/>
    <col min="14" max="14" width="56.28515625" style="5" bestFit="1" customWidth="1"/>
    <col min="15" max="15" width="2" style="5" bestFit="1" customWidth="1"/>
    <col min="16" max="16384" width="9.140625" style="5"/>
  </cols>
  <sheetData>
    <row r="1" spans="1:15" ht="11.25" customHeight="1" x14ac:dyDescent="0.2">
      <c r="A1" s="1"/>
      <c r="B1" s="43"/>
      <c r="C1" s="43"/>
      <c r="D1" s="43"/>
      <c r="E1" s="43"/>
      <c r="F1" s="2" t="s">
        <v>0</v>
      </c>
      <c r="G1" s="6" t="s">
        <v>32</v>
      </c>
      <c r="H1" s="36"/>
      <c r="I1" s="3"/>
      <c r="J1" s="3"/>
      <c r="K1" s="4"/>
      <c r="L1" s="3"/>
      <c r="M1" s="4"/>
      <c r="N1" s="4"/>
      <c r="O1" s="4"/>
    </row>
    <row r="2" spans="1:15" ht="11.25" customHeight="1" x14ac:dyDescent="0.2">
      <c r="A2" s="1"/>
      <c r="B2" s="43" t="s">
        <v>1</v>
      </c>
      <c r="C2" s="43"/>
      <c r="D2" s="43"/>
      <c r="E2" s="43"/>
      <c r="F2" s="2" t="s">
        <v>2</v>
      </c>
      <c r="G2" s="6" t="s">
        <v>3</v>
      </c>
      <c r="H2" s="3"/>
      <c r="I2" s="3"/>
      <c r="J2" s="3"/>
      <c r="K2" s="4"/>
      <c r="L2" s="3"/>
      <c r="M2" s="4"/>
      <c r="N2" s="4"/>
      <c r="O2" s="4"/>
    </row>
    <row r="3" spans="1:15" ht="11.25" customHeight="1" x14ac:dyDescent="0.2">
      <c r="A3" s="1"/>
      <c r="B3" s="7" t="s">
        <v>4</v>
      </c>
      <c r="C3" s="25" t="s">
        <v>39</v>
      </c>
      <c r="D3" s="26" t="s">
        <v>5</v>
      </c>
      <c r="E3" s="8" t="s">
        <v>41</v>
      </c>
      <c r="F3" s="2" t="s">
        <v>6</v>
      </c>
      <c r="G3" s="6" t="s">
        <v>7</v>
      </c>
      <c r="H3" s="3"/>
      <c r="I3" s="3"/>
      <c r="J3" s="3"/>
      <c r="K3" s="4"/>
      <c r="L3" s="3"/>
      <c r="M3" s="4"/>
      <c r="N3" s="9"/>
      <c r="O3" s="4"/>
    </row>
    <row r="4" spans="1:15" ht="11.25" customHeight="1" x14ac:dyDescent="0.2">
      <c r="A4" s="1"/>
      <c r="B4" s="7"/>
      <c r="C4" s="25"/>
      <c r="D4" s="26"/>
      <c r="E4" s="8"/>
      <c r="F4" s="2" t="s">
        <v>16</v>
      </c>
      <c r="G4" s="6" t="s">
        <v>17</v>
      </c>
      <c r="H4" s="3"/>
      <c r="I4" s="3"/>
      <c r="J4" s="3"/>
      <c r="K4" s="4"/>
      <c r="L4" s="3"/>
      <c r="M4" s="4"/>
      <c r="N4" s="9"/>
      <c r="O4" s="4"/>
    </row>
    <row r="5" spans="1:15" ht="11.25" customHeight="1" x14ac:dyDescent="0.2">
      <c r="A5" s="1"/>
      <c r="B5" s="7"/>
      <c r="C5" s="25"/>
      <c r="D5" s="26"/>
      <c r="E5" s="8"/>
      <c r="F5" s="2" t="s">
        <v>18</v>
      </c>
      <c r="G5" s="6" t="s">
        <v>19</v>
      </c>
      <c r="H5" s="3"/>
      <c r="I5" s="3"/>
      <c r="J5" s="3"/>
      <c r="K5" s="4"/>
      <c r="L5" s="3"/>
      <c r="M5" s="4"/>
      <c r="N5" s="9"/>
      <c r="O5" s="4"/>
    </row>
    <row r="6" spans="1:15" ht="11.25" customHeight="1" x14ac:dyDescent="0.2">
      <c r="A6" s="4"/>
      <c r="B6" s="7"/>
      <c r="C6" s="25"/>
      <c r="D6" s="26"/>
      <c r="E6" s="8"/>
      <c r="F6" s="2" t="s">
        <v>20</v>
      </c>
      <c r="G6" s="6" t="s">
        <v>21</v>
      </c>
      <c r="H6" s="3"/>
      <c r="I6" s="3"/>
      <c r="J6" s="3"/>
      <c r="K6" s="4"/>
      <c r="L6" s="3"/>
      <c r="M6" s="4"/>
    </row>
    <row r="7" spans="1:15" ht="11.25" customHeight="1" x14ac:dyDescent="0.2">
      <c r="A7" s="4">
        <v>1</v>
      </c>
      <c r="B7" s="7"/>
      <c r="C7" s="25"/>
      <c r="D7" s="26"/>
      <c r="E7" s="8"/>
      <c r="F7" s="2" t="s">
        <v>22</v>
      </c>
      <c r="G7" s="6" t="s">
        <v>23</v>
      </c>
      <c r="H7" s="3"/>
      <c r="I7" s="3"/>
      <c r="J7" s="3"/>
      <c r="K7" s="4"/>
      <c r="L7" s="3"/>
      <c r="M7" s="19">
        <v>0</v>
      </c>
    </row>
    <row r="8" spans="1:15" ht="11.25" customHeight="1" x14ac:dyDescent="0.2">
      <c r="A8" s="4">
        <v>2</v>
      </c>
      <c r="B8" s="7"/>
      <c r="C8" s="25"/>
      <c r="D8" s="26"/>
      <c r="E8" s="8"/>
      <c r="F8" s="2" t="s">
        <v>24</v>
      </c>
      <c r="G8" s="6" t="s">
        <v>17</v>
      </c>
      <c r="H8" s="3" t="s">
        <v>25</v>
      </c>
      <c r="I8" s="3"/>
      <c r="J8" s="3"/>
      <c r="K8" s="4"/>
      <c r="L8" s="3"/>
      <c r="M8" s="19"/>
    </row>
    <row r="9" spans="1:15" ht="11.25" customHeight="1" x14ac:dyDescent="0.2">
      <c r="A9" s="4">
        <v>3</v>
      </c>
      <c r="B9" s="7"/>
      <c r="C9" s="25"/>
      <c r="D9" s="26"/>
      <c r="E9" s="8"/>
      <c r="F9" s="2" t="s">
        <v>26</v>
      </c>
      <c r="G9" s="6" t="s">
        <v>45</v>
      </c>
      <c r="H9" s="3"/>
      <c r="I9" s="3"/>
      <c r="J9" s="3"/>
      <c r="K9" s="4"/>
      <c r="L9" s="3"/>
      <c r="M9" s="19"/>
    </row>
    <row r="10" spans="1:15" x14ac:dyDescent="0.2">
      <c r="A10" s="4">
        <v>4</v>
      </c>
      <c r="B10" s="1"/>
      <c r="C10" s="27" t="s">
        <v>29</v>
      </c>
      <c r="D10" s="34" t="s">
        <v>40</v>
      </c>
      <c r="F10" s="5"/>
      <c r="H10" s="3"/>
      <c r="I10" s="3"/>
      <c r="J10" s="3"/>
      <c r="K10" s="4"/>
      <c r="L10" s="3"/>
      <c r="M10" s="19"/>
    </row>
    <row r="11" spans="1:15" x14ac:dyDescent="0.2">
      <c r="A11" s="4">
        <v>5</v>
      </c>
      <c r="B11" s="1"/>
      <c r="C11" s="1"/>
      <c r="D11" s="3"/>
      <c r="E11" s="3"/>
      <c r="F11" s="5"/>
      <c r="H11" s="3"/>
      <c r="I11" s="3"/>
      <c r="J11" s="3"/>
      <c r="K11" s="4"/>
      <c r="L11" s="3"/>
      <c r="M11" s="19"/>
    </row>
    <row r="12" spans="1:15" ht="25.5" x14ac:dyDescent="0.2">
      <c r="A12" s="4">
        <v>6</v>
      </c>
      <c r="B12" s="10" t="s">
        <v>8</v>
      </c>
      <c r="C12" s="10" t="s">
        <v>28</v>
      </c>
      <c r="D12" s="32" t="s">
        <v>9</v>
      </c>
      <c r="E12" s="11" t="s">
        <v>30</v>
      </c>
      <c r="F12" s="33" t="s">
        <v>10</v>
      </c>
      <c r="G12" s="12" t="s">
        <v>11</v>
      </c>
      <c r="H12" s="11" t="s">
        <v>12</v>
      </c>
      <c r="I12" s="13" t="s">
        <v>13</v>
      </c>
      <c r="J12" s="14" t="s">
        <v>31</v>
      </c>
      <c r="K12" s="4"/>
      <c r="L12" s="15" t="s">
        <v>14</v>
      </c>
      <c r="M12" s="19"/>
    </row>
    <row r="13" spans="1:15" ht="63.75" x14ac:dyDescent="0.2">
      <c r="A13" s="4">
        <v>7</v>
      </c>
      <c r="B13" s="38" t="s">
        <v>27</v>
      </c>
      <c r="C13" s="35" t="s">
        <v>42</v>
      </c>
      <c r="D13" s="39" t="s">
        <v>43</v>
      </c>
      <c r="E13" s="40" t="s">
        <v>44</v>
      </c>
      <c r="F13" s="4" t="s">
        <v>35</v>
      </c>
      <c r="G13" s="2">
        <v>700100</v>
      </c>
      <c r="H13" s="37" t="s">
        <v>46</v>
      </c>
      <c r="I13" s="17">
        <v>47828</v>
      </c>
      <c r="J13" s="18">
        <v>45547</v>
      </c>
      <c r="K13" s="4">
        <v>0</v>
      </c>
      <c r="L13" s="41" t="str">
        <f>_xlfn.CONCAT($B$12,B13,$B$3,$C$3,$D$3,$E$3,$C$10,$D$10," ",$E$12, " ",E13, $C$12, C13)</f>
        <v xml:space="preserve"> Execucao de servicos de Atend Presencial CONTRATO 2024.0077.01 Ref. 07.12.2024. Lote Consolidacao: 317121 Municipio CUIABÁ Codigo Faturamento 240077011910459030010000317121</v>
      </c>
      <c r="M13" s="19"/>
    </row>
    <row r="14" spans="1:15" x14ac:dyDescent="0.2">
      <c r="A14" s="22"/>
      <c r="B14" s="29"/>
      <c r="C14" s="29"/>
      <c r="D14" s="16"/>
      <c r="E14" s="21"/>
      <c r="F14" s="21"/>
      <c r="G14" s="28"/>
      <c r="H14" s="28"/>
      <c r="I14" s="21"/>
      <c r="J14" s="18"/>
      <c r="K14" s="19"/>
      <c r="L14" s="20"/>
      <c r="M14" s="19"/>
    </row>
    <row r="15" spans="1:15" x14ac:dyDescent="0.2">
      <c r="A15" s="22"/>
      <c r="B15" s="29"/>
      <c r="C15" s="29"/>
      <c r="D15" s="16"/>
      <c r="E15" s="21"/>
      <c r="F15" s="21"/>
      <c r="G15" s="28"/>
      <c r="H15" s="28"/>
      <c r="I15" s="21"/>
      <c r="J15" s="18"/>
      <c r="K15" s="19"/>
      <c r="L15" s="20"/>
      <c r="M15" s="19"/>
    </row>
    <row r="16" spans="1:15" x14ac:dyDescent="0.2">
      <c r="A16" s="22"/>
      <c r="B16" s="29"/>
      <c r="C16" s="29"/>
      <c r="D16" s="16"/>
      <c r="E16" s="21"/>
      <c r="F16" s="21"/>
      <c r="G16" s="28"/>
      <c r="H16" s="28"/>
      <c r="I16" s="21"/>
      <c r="J16" s="18"/>
      <c r="K16" s="19"/>
      <c r="L16" s="20"/>
      <c r="M16" s="22"/>
      <c r="N16" s="22"/>
      <c r="O16" s="22"/>
    </row>
    <row r="17" spans="1:15" x14ac:dyDescent="0.2">
      <c r="A17" s="22"/>
      <c r="B17" s="29"/>
      <c r="C17" s="29"/>
      <c r="D17" s="16"/>
      <c r="E17" s="21"/>
      <c r="F17" s="21"/>
      <c r="G17" s="28"/>
      <c r="H17" s="28"/>
      <c r="I17" s="21"/>
      <c r="J17" s="18"/>
      <c r="K17" s="19"/>
      <c r="L17" s="20"/>
      <c r="M17" s="22"/>
      <c r="N17" s="22"/>
      <c r="O17" s="22"/>
    </row>
    <row r="18" spans="1:15" x14ac:dyDescent="0.2">
      <c r="A18" s="22"/>
      <c r="B18" s="29"/>
      <c r="C18" s="29"/>
      <c r="D18" s="16"/>
      <c r="E18" s="21"/>
      <c r="F18" s="21"/>
      <c r="G18" s="28"/>
      <c r="H18" s="28"/>
      <c r="I18" s="21"/>
      <c r="J18" s="18"/>
      <c r="K18" s="19"/>
      <c r="L18" s="20"/>
      <c r="M18" s="22"/>
      <c r="N18" s="22"/>
      <c r="O18" s="22"/>
    </row>
    <row r="19" spans="1:15" x14ac:dyDescent="0.2">
      <c r="A19" s="22"/>
      <c r="B19" s="29"/>
      <c r="C19" s="29"/>
      <c r="D19" s="16"/>
      <c r="E19" s="21"/>
      <c r="F19" s="21"/>
      <c r="G19" s="28"/>
      <c r="H19" s="28"/>
      <c r="I19" s="21"/>
      <c r="J19" s="18"/>
      <c r="K19" s="19"/>
      <c r="L19" s="30"/>
      <c r="M19" s="22"/>
      <c r="N19" s="22"/>
      <c r="O19" s="22"/>
    </row>
    <row r="20" spans="1:15" x14ac:dyDescent="0.2">
      <c r="A20" s="22"/>
      <c r="B20" s="29"/>
      <c r="C20" s="29"/>
      <c r="D20" s="16"/>
      <c r="E20" s="21"/>
      <c r="F20" s="21"/>
      <c r="G20" s="28"/>
      <c r="H20" s="28"/>
      <c r="I20" s="21"/>
      <c r="J20" s="18"/>
      <c r="K20" s="19"/>
      <c r="L20" s="30"/>
      <c r="M20" s="22"/>
      <c r="N20" s="22"/>
      <c r="O20" s="22"/>
    </row>
    <row r="21" spans="1:15" x14ac:dyDescent="0.2">
      <c r="A21" s="22"/>
      <c r="B21" s="29"/>
      <c r="C21" s="29"/>
      <c r="D21" s="16"/>
      <c r="E21" s="21"/>
      <c r="F21" s="21"/>
      <c r="G21" s="28"/>
      <c r="H21" s="28"/>
      <c r="I21" s="21"/>
      <c r="J21" s="18"/>
      <c r="K21" s="19"/>
      <c r="L21" s="30"/>
      <c r="M21" s="22"/>
      <c r="N21" s="22"/>
      <c r="O21" s="22"/>
    </row>
    <row r="22" spans="1:15" x14ac:dyDescent="0.2">
      <c r="A22" s="22"/>
      <c r="B22" s="22"/>
      <c r="C22" s="22"/>
      <c r="D22" s="31">
        <f>SUM(D13:D21)</f>
        <v>0</v>
      </c>
      <c r="E22" s="22"/>
      <c r="F22" s="23"/>
      <c r="G22" s="23"/>
      <c r="H22" s="23"/>
      <c r="I22" s="23"/>
      <c r="J22" s="23"/>
      <c r="K22" s="22"/>
      <c r="L22" s="23"/>
      <c r="M22" s="22"/>
      <c r="N22" s="22"/>
      <c r="O22" s="22"/>
    </row>
    <row r="23" spans="1:15" x14ac:dyDescent="0.2">
      <c r="A23" s="22"/>
      <c r="B23" s="22"/>
      <c r="C23" s="22"/>
      <c r="D23" s="22"/>
      <c r="E23" s="22"/>
      <c r="F23" s="23"/>
      <c r="G23" s="23"/>
      <c r="H23" s="23"/>
      <c r="I23" s="23"/>
      <c r="J23" s="23"/>
      <c r="K23" s="22"/>
      <c r="L23" s="23"/>
      <c r="M23" s="22"/>
      <c r="N23" s="22"/>
      <c r="O23" s="22"/>
    </row>
    <row r="25" spans="1:15" x14ac:dyDescent="0.2">
      <c r="B25" s="2">
        <v>15413826</v>
      </c>
      <c r="C25" s="5" t="s">
        <v>33</v>
      </c>
    </row>
    <row r="26" spans="1:15" x14ac:dyDescent="0.2">
      <c r="B26" s="6" t="s">
        <v>32</v>
      </c>
      <c r="C26" s="5" t="s">
        <v>34</v>
      </c>
    </row>
    <row r="29" spans="1:15" x14ac:dyDescent="0.2">
      <c r="B29" s="6" t="s">
        <v>36</v>
      </c>
      <c r="C29" s="5" t="s">
        <v>37</v>
      </c>
    </row>
    <row r="30" spans="1:15" x14ac:dyDescent="0.2">
      <c r="B30" s="6" t="s">
        <v>35</v>
      </c>
      <c r="C30" s="5" t="s">
        <v>38</v>
      </c>
    </row>
  </sheetData>
  <mergeCells count="2">
    <mergeCell ref="B1:E1"/>
    <mergeCell ref="B2:E2"/>
  </mergeCells>
  <conditionalFormatting sqref="E23">
    <cfRule type="duplicateValues" dxfId="14" priority="15"/>
  </conditionalFormatting>
  <conditionalFormatting sqref="C13">
    <cfRule type="duplicateValues" dxfId="13" priority="1"/>
  </conditionalFormatting>
  <conditionalFormatting sqref="E1:E2">
    <cfRule type="duplicateValues" dxfId="12" priority="8"/>
    <cfRule type="duplicateValues" dxfId="11" priority="9"/>
    <cfRule type="duplicateValues" dxfId="10" priority="10"/>
    <cfRule type="duplicateValues" dxfId="9" priority="11"/>
    <cfRule type="duplicateValues" dxfId="8" priority="12"/>
  </conditionalFormatting>
  <conditionalFormatting sqref="E14:E22 E1:E9">
    <cfRule type="duplicateValues" dxfId="7" priority="7"/>
  </conditionalFormatting>
  <conditionalFormatting sqref="L12">
    <cfRule type="duplicateValues" dxfId="6" priority="2"/>
    <cfRule type="duplicateValues" dxfId="5" priority="3"/>
    <cfRule type="duplicateValues" dxfId="4" priority="4"/>
    <cfRule type="duplicateValues" dxfId="3" priority="5"/>
    <cfRule type="duplicateValues" dxfId="2" priority="6"/>
  </conditionalFormatting>
  <conditionalFormatting sqref="E1:E9">
    <cfRule type="duplicateValues" dxfId="1" priority="13"/>
    <cfRule type="duplicateValues" dxfId="0" priority="14"/>
  </conditionalFormatting>
  <pageMargins left="0.511811024" right="0.511811024" top="0.78740157499999996" bottom="0.78740157499999996" header="0.31496062000000002" footer="0.31496062000000002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Dados</vt:lpstr>
      <vt:lpstr>Dados MT - 07.12.2024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Jéssica Leite Serviços</dc:creator>
  <cp:lastModifiedBy>Logos Serviços</cp:lastModifiedBy>
  <dcterms:created xsi:type="dcterms:W3CDTF">2024-09-27T14:40:32Z</dcterms:created>
  <dcterms:modified xsi:type="dcterms:W3CDTF">2024-12-09T13:46:35Z</dcterms:modified>
</cp:coreProperties>
</file>